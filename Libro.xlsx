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ropbox\UNIVERSIDAD\Quinto semestre\Desarrollo de Aplicaciones web\Unidad 1\banderas\"/>
    </mc:Choice>
  </mc:AlternateContent>
  <xr:revisionPtr revIDLastSave="0" documentId="13_ncr:1_{7AB834DA-86DF-4651-A9B5-6A3E8A7886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E10" i="1"/>
  <c r="E9" i="1"/>
  <c r="E8" i="1"/>
  <c r="E7" i="1"/>
  <c r="E6" i="1"/>
  <c r="B8" i="1"/>
  <c r="B9" i="1"/>
  <c r="B10" i="1"/>
  <c r="C8" i="1"/>
  <c r="C9" i="1"/>
  <c r="C10" i="1"/>
  <c r="C7" i="1"/>
  <c r="C6" i="1"/>
  <c r="B7" i="1"/>
  <c r="B6" i="1"/>
</calcChain>
</file>

<file path=xl/sharedStrings.xml><?xml version="1.0" encoding="utf-8"?>
<sst xmlns="http://schemas.openxmlformats.org/spreadsheetml/2006/main" count="11" uniqueCount="9">
  <si>
    <t>R1</t>
  </si>
  <si>
    <t>R2</t>
  </si>
  <si>
    <t>X</t>
  </si>
  <si>
    <t>Y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</si>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</sst>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97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9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0"/>
  <sheetViews>
    <sheetView tabSelected="1" workbookViewId="0">
      <selection activeCell="B6" sqref="B6:E10"/>
    </sheetView>
  </sheetViews>
  <sheetFormatPr baseColWidth="10" defaultColWidth="8.88671875" defaultRowHeight="14.4" x14ac:dyDescent="0.3"/>
  <cols>
    <col min="2" max="5" width="15.21875" bestFit="1" customWidth="1"/>
  </cols>
  <sheetData>
    <row r="2" spans="1:5" x14ac:dyDescent="0.3">
      <c r="C2" t="s">
        <v>0</v>
      </c>
      <c r="D2" t="s">
        <v>1</v>
      </c>
    </row>
    <row r="3" spans="1:5" x14ac:dyDescent="0.3">
      <c r="C3">
        <v>1.5</v>
      </c>
      <c r="D3">
        <v>0.6</v>
      </c>
    </row>
    <row r="5" spans="1:5" x14ac:dyDescent="0.3">
      <c r="B5" t="s">
        <v>2</v>
      </c>
      <c r="C5" t="s">
        <v>3</v>
      </c>
      <c r="D5" t="s">
        <v>2</v>
      </c>
      <c r="E5" t="s">
        <v>3</v>
      </c>
    </row>
    <row r="6" spans="1:5" x14ac:dyDescent="0.3">
      <c r="A6" t="s">
        <v>4</v>
      </c>
      <c r="B6" s="2">
        <f>C3*SIN(2*PI()/5)</f>
        <v>1.4265847744427302</v>
      </c>
      <c r="C6" s="2">
        <f>C3*COS(2*PI()/5)</f>
        <v>0.46352549156242118</v>
      </c>
      <c r="D6" s="2">
        <f>D3*SIN(2*PI()/5+PI()/5)</f>
        <v>0.57063390977709216</v>
      </c>
      <c r="E6" s="2">
        <f>D3*COS(2*PI()/5+PI()/5)</f>
        <v>-0.18541019662496841</v>
      </c>
    </row>
    <row r="7" spans="1:5" x14ac:dyDescent="0.3">
      <c r="A7" t="s">
        <v>5</v>
      </c>
      <c r="B7" s="2">
        <f>C3*SIN(2*PI()/5*2)</f>
        <v>0.88167787843870982</v>
      </c>
      <c r="C7" s="2">
        <f>C3*COS(2*PI()/5*2)</f>
        <v>-1.213525491562421</v>
      </c>
      <c r="D7" s="2">
        <f>D3*SIN(2*PI()/5*2+PI()/5)</f>
        <v>7.3508907294517201E-17</v>
      </c>
      <c r="E7" s="2">
        <f>D3*COS(2*PI()/5*2+PI()/5)</f>
        <v>-0.6</v>
      </c>
    </row>
    <row r="8" spans="1:5" x14ac:dyDescent="0.3">
      <c r="A8" t="s">
        <v>6</v>
      </c>
      <c r="B8" s="2">
        <f>C3*SIN(2*PI()/5*3)</f>
        <v>-0.88167787843870959</v>
      </c>
      <c r="C8" s="2">
        <f>C3*COS(2*PI()/5*3)</f>
        <v>-1.2135254915624214</v>
      </c>
      <c r="D8" s="2">
        <f>D3*SIN(2*PI()/5*3+PI()/5)</f>
        <v>-0.57063390977709205</v>
      </c>
      <c r="E8" s="2">
        <f>D3*COS(2*PI()/5*3+PI()/5)</f>
        <v>-0.18541019662496852</v>
      </c>
    </row>
    <row r="9" spans="1:5" x14ac:dyDescent="0.3">
      <c r="A9" t="s">
        <v>7</v>
      </c>
      <c r="B9" s="2">
        <f>C3*SIN(2*PI()/5*4)</f>
        <v>-1.4265847744427305</v>
      </c>
      <c r="C9" s="2">
        <f>C3*COS(2*PI()/5*4)</f>
        <v>0.46352549156242084</v>
      </c>
      <c r="D9" s="2">
        <f>D3*SIN(2*PI()/5*4+PI()/5)</f>
        <v>-0.35267115137548399</v>
      </c>
      <c r="E9" s="2">
        <f>D3*COS(2*PI()/5*4+PI()/5)</f>
        <v>0.48541019662496837</v>
      </c>
    </row>
    <row r="10" spans="1:5" x14ac:dyDescent="0.3">
      <c r="A10" t="s">
        <v>8</v>
      </c>
      <c r="B10" s="1">
        <f>C3*SIN(2*PI()/5*5)</f>
        <v>-3.67544536472586E-16</v>
      </c>
      <c r="C10">
        <f>C3*COS(2*PI()/5*5)</f>
        <v>1.5</v>
      </c>
      <c r="D10" s="1">
        <f>D3*SIN(2*PI()/5*5+PI()/5)</f>
        <v>0.35267115137548372</v>
      </c>
      <c r="E10" s="2">
        <f>D3*COS(2*PI()/5*5+PI()/5)</f>
        <v>0.48541019662496854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alvarez</dc:creator>
  <cp:lastModifiedBy>oscar alvarez</cp:lastModifiedBy>
  <dcterms:created xsi:type="dcterms:W3CDTF">2015-06-05T18:19:34Z</dcterms:created>
  <dcterms:modified xsi:type="dcterms:W3CDTF">2026-09-01T16:17:36Z</dcterms:modified>
</cp:coreProperties>
</file>